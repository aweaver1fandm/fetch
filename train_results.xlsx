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ividual models" sheetId="1" state="visible" r:id="rId2"/>
    <sheet name="Combined model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<sst xmlns="http://schemas.openxmlformats.org/spreadsheetml/2006/main" count="94" uniqueCount="24">
  <si>
    <t xml:space="preserve">Model</t>
  </si>
  <si>
    <t xml:space="preserve">Data</t>
  </si>
  <si>
    <t xml:space="preserve">train+</t>
  </si>
  <si>
    <t xml:space="preserve">train-</t>
  </si>
  <si>
    <t xml:space="preserve">val+</t>
  </si>
  <si>
    <t xml:space="preserve">val-</t>
  </si>
  <si>
    <t xml:space="preserve">best loss</t>
  </si>
  <si>
    <t xml:space="preserve">unfrozen</t>
  </si>
  <si>
    <t xml:space="preserve">Recall</t>
  </si>
  <si>
    <t xml:space="preserve">Precision</t>
  </si>
  <si>
    <t xml:space="preserve">F1</t>
  </si>
  <si>
    <t xml:space="preserve">False Negative Rate</t>
  </si>
  <si>
    <t xml:space="preserve">DenseNet121</t>
  </si>
  <si>
    <t xml:space="preserve">freq</t>
  </si>
  <si>
    <t xml:space="preserve">DenseNet169</t>
  </si>
  <si>
    <t xml:space="preserve">DenseNet201</t>
  </si>
  <si>
    <t xml:space="preserve">VGG16</t>
  </si>
  <si>
    <t xml:space="preserve">VGG19</t>
  </si>
  <si>
    <t xml:space="preserve">dm</t>
  </si>
  <si>
    <t xml:space="preserve">valid+</t>
  </si>
  <si>
    <t xml:space="preserve">valid-</t>
  </si>
  <si>
    <t xml:space="preserve">best k</t>
  </si>
  <si>
    <t xml:space="preserve">recall</t>
  </si>
  <si>
    <t xml:space="preserve">precision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</si>
</sst>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D7"/>
      </patternFill>
    </fill>
    <fill>
      <patternFill patternType="solid">
        <fgColor rgb="FFFFFFD7"/>
        <bgColor rgb="FFFFFFCC"/>
      </patternFill>
    </fill>
    <fill>
      <patternFill patternType="solid">
        <fgColor rgb="FFFFFFFF"/>
        <bgColor rgb="FFFFFFD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D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6796875" defaultRowHeight="12.75" zeroHeight="false" outlineLevelRow="0" outlineLevelCol="0"/>
  <cols>
    <col collapsed="false" customWidth="true" hidden="false" outlineLevel="0" max="1" min="1" style="0" width="13.89"/>
    <col collapsed="false" customWidth="true" hidden="false" outlineLevel="0" max="12" min="12" style="0" width="19.56"/>
  </cols>
  <sheetData>
    <row r="1" customFormat="false" ht="12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2.75" hidden="false" customHeight="false" outlineLevel="0" collapsed="false">
      <c r="A2" s="2" t="s">
        <v>12</v>
      </c>
      <c r="B2" s="2" t="s">
        <v>13</v>
      </c>
      <c r="C2" s="0" t="n">
        <v>17009</v>
      </c>
      <c r="D2" s="0" t="n">
        <v>16991</v>
      </c>
      <c r="E2" s="0" t="n">
        <v>2991</v>
      </c>
      <c r="F2" s="0" t="n">
        <v>3002</v>
      </c>
      <c r="G2" s="0" t="n">
        <v>0.5133</v>
      </c>
      <c r="H2" s="0" t="n">
        <v>1</v>
      </c>
      <c r="I2" s="0" t="n">
        <v>52.54</v>
      </c>
      <c r="J2" s="0" t="n">
        <v>98.09</v>
      </c>
      <c r="K2" s="0" t="n">
        <v>68.43</v>
      </c>
      <c r="L2" s="3" t="n">
        <f aca="false">(1-(I2/100))*100</f>
        <v>47.46</v>
      </c>
    </row>
    <row r="3" customFormat="false" ht="12.75" hidden="false" customHeight="false" outlineLevel="0" collapsed="false">
      <c r="A3" s="2" t="s">
        <v>14</v>
      </c>
      <c r="B3" s="2" t="s">
        <v>13</v>
      </c>
      <c r="C3" s="0" t="n">
        <v>17061</v>
      </c>
      <c r="D3" s="0" t="n">
        <v>16939</v>
      </c>
      <c r="E3" s="0" t="n">
        <v>2939</v>
      </c>
      <c r="F3" s="0" t="n">
        <v>3061</v>
      </c>
      <c r="G3" s="0" t="n">
        <v>0.5137</v>
      </c>
      <c r="H3" s="0" t="n">
        <v>2</v>
      </c>
      <c r="I3" s="0" t="n">
        <v>62.94</v>
      </c>
      <c r="J3" s="0" t="n">
        <v>99.31</v>
      </c>
      <c r="K3" s="0" t="n">
        <v>77.05</v>
      </c>
      <c r="L3" s="3" t="n">
        <f aca="false">(1-(I3/100))*100</f>
        <v>37.06</v>
      </c>
    </row>
    <row r="4" customFormat="false" ht="12.75" hidden="false" customHeight="false" outlineLevel="0" collapsed="false">
      <c r="A4" s="2" t="s">
        <v>15</v>
      </c>
      <c r="B4" s="2" t="s">
        <v>13</v>
      </c>
      <c r="C4" s="0" t="n">
        <v>16982</v>
      </c>
      <c r="D4" s="0" t="n">
        <v>17018</v>
      </c>
      <c r="E4" s="0" t="n">
        <v>3018</v>
      </c>
      <c r="F4" s="0" t="n">
        <v>2982</v>
      </c>
      <c r="G4" s="0" t="n">
        <v>0.5088</v>
      </c>
      <c r="H4" s="0" t="n">
        <v>3</v>
      </c>
      <c r="I4" s="0" t="n">
        <v>64.75</v>
      </c>
      <c r="J4" s="0" t="n">
        <v>97.97</v>
      </c>
      <c r="K4" s="0" t="n">
        <v>78.33</v>
      </c>
      <c r="L4" s="3" t="n">
        <f aca="false">(1-(I4/100))*100</f>
        <v>35.25</v>
      </c>
    </row>
    <row r="5" customFormat="false" ht="12.75" hidden="false" customHeight="false" outlineLevel="0" collapsed="false">
      <c r="A5" s="2" t="s">
        <v>16</v>
      </c>
      <c r="B5" s="2" t="s">
        <v>13</v>
      </c>
      <c r="C5" s="0" t="n">
        <v>16976</v>
      </c>
      <c r="D5" s="0" t="n">
        <v>17024</v>
      </c>
      <c r="E5" s="0" t="n">
        <v>3024</v>
      </c>
      <c r="F5" s="0" t="n">
        <v>2976</v>
      </c>
      <c r="G5" s="0" t="n">
        <v>0.5284</v>
      </c>
      <c r="H5" s="0" t="n">
        <v>1</v>
      </c>
      <c r="I5" s="0" t="n">
        <v>54.31</v>
      </c>
      <c r="J5" s="0" t="n">
        <v>90.57</v>
      </c>
      <c r="K5" s="0" t="n">
        <v>67.9</v>
      </c>
      <c r="L5" s="3" t="n">
        <f aca="false">(1-(I5/100))*100</f>
        <v>45.69</v>
      </c>
    </row>
    <row r="6" customFormat="false" ht="12.75" hidden="false" customHeight="false" outlineLevel="0" collapsed="false">
      <c r="A6" s="2" t="s">
        <v>17</v>
      </c>
      <c r="B6" s="2" t="s">
        <v>13</v>
      </c>
      <c r="C6" s="0" t="n">
        <v>17002</v>
      </c>
      <c r="D6" s="0" t="n">
        <v>16998</v>
      </c>
      <c r="E6" s="0" t="n">
        <v>2998</v>
      </c>
      <c r="F6" s="0" t="n">
        <v>3002</v>
      </c>
      <c r="G6" s="0" t="n">
        <v>0.5392</v>
      </c>
      <c r="H6" s="0" t="n">
        <v>1</v>
      </c>
      <c r="I6" s="0" t="n">
        <v>65.82</v>
      </c>
      <c r="J6" s="0" t="n">
        <v>90.41</v>
      </c>
      <c r="K6" s="0" t="n">
        <v>76.18</v>
      </c>
      <c r="L6" s="3" t="n">
        <f aca="false">(1-(I6/100))*100</f>
        <v>34.18</v>
      </c>
    </row>
    <row r="7" customFormat="false" ht="12.75" hidden="false" customHeight="false" outlineLevel="0" collapsed="false">
      <c r="A7" s="4" t="s">
        <v>12</v>
      </c>
      <c r="B7" s="4" t="s">
        <v>18</v>
      </c>
      <c r="C7" s="5" t="n">
        <v>17011</v>
      </c>
      <c r="D7" s="5" t="n">
        <v>16989</v>
      </c>
      <c r="E7" s="5" t="n">
        <v>2989</v>
      </c>
      <c r="F7" s="5" t="n">
        <v>3011</v>
      </c>
      <c r="G7" s="5" t="n">
        <v>0.5051</v>
      </c>
      <c r="H7" s="5" t="n">
        <v>1</v>
      </c>
      <c r="I7" s="5" t="n">
        <v>99.38</v>
      </c>
      <c r="J7" s="5" t="n">
        <v>99.62</v>
      </c>
      <c r="K7" s="5" t="n">
        <v>99.5</v>
      </c>
      <c r="L7" s="6" t="n">
        <f aca="false">(1-(I7/100))*100</f>
        <v>0.620000000000009</v>
      </c>
    </row>
    <row r="8" customFormat="false" ht="12.75" hidden="false" customHeight="false" outlineLevel="0" collapsed="false">
      <c r="A8" s="4" t="s">
        <v>14</v>
      </c>
      <c r="B8" s="4" t="s">
        <v>18</v>
      </c>
      <c r="C8" s="5" t="n">
        <v>17016</v>
      </c>
      <c r="D8" s="5" t="n">
        <v>16984</v>
      </c>
      <c r="E8" s="5" t="n">
        <v>2984</v>
      </c>
      <c r="F8" s="5" t="n">
        <v>3016</v>
      </c>
      <c r="G8" s="5" t="n">
        <v>0.5045</v>
      </c>
      <c r="H8" s="5" t="n">
        <v>4</v>
      </c>
      <c r="I8" s="5" t="n">
        <v>99.02</v>
      </c>
      <c r="J8" s="5" t="n">
        <v>99.71</v>
      </c>
      <c r="K8" s="5" t="n">
        <v>99.37</v>
      </c>
      <c r="L8" s="6" t="n">
        <f aca="false">(1-(I8/100))*100</f>
        <v>0.980000000000003</v>
      </c>
    </row>
    <row r="9" customFormat="false" ht="12.75" hidden="false" customHeight="false" outlineLevel="0" collapsed="false">
      <c r="A9" s="4" t="s">
        <v>15</v>
      </c>
      <c r="B9" s="4" t="s">
        <v>18</v>
      </c>
      <c r="C9" s="5" t="n">
        <v>17043</v>
      </c>
      <c r="D9" s="5" t="n">
        <v>16957</v>
      </c>
      <c r="E9" s="5" t="n">
        <v>2957</v>
      </c>
      <c r="F9" s="5" t="n">
        <v>3043</v>
      </c>
      <c r="G9" s="5" t="n">
        <v>0.5064</v>
      </c>
      <c r="H9" s="5" t="n">
        <v>1</v>
      </c>
      <c r="I9" s="5" t="n">
        <v>98.24</v>
      </c>
      <c r="J9" s="5" t="n">
        <v>99.83</v>
      </c>
      <c r="K9" s="5" t="n">
        <v>99.03</v>
      </c>
      <c r="L9" s="6" t="n">
        <f aca="false">(1-(I9/100))*100</f>
        <v>1.76000000000001</v>
      </c>
    </row>
    <row r="10" customFormat="false" ht="12.75" hidden="false" customHeight="false" outlineLevel="0" collapsed="false">
      <c r="A10" s="4" t="s">
        <v>16</v>
      </c>
      <c r="B10" s="4" t="s">
        <v>18</v>
      </c>
      <c r="C10" s="5" t="n">
        <v>16986</v>
      </c>
      <c r="D10" s="5" t="n">
        <v>17014</v>
      </c>
      <c r="E10" s="5" t="n">
        <v>3014</v>
      </c>
      <c r="F10" s="5" t="n">
        <v>2986</v>
      </c>
      <c r="G10" s="5" t="n">
        <v>0.5077</v>
      </c>
      <c r="H10" s="5" t="n">
        <v>0</v>
      </c>
      <c r="I10" s="5" t="n">
        <v>98.42</v>
      </c>
      <c r="J10" s="5" t="n">
        <v>99</v>
      </c>
      <c r="K10" s="5" t="n">
        <v>98.7</v>
      </c>
      <c r="L10" s="6" t="n">
        <f aca="false">(1-(I10/100))*100</f>
        <v>1.58</v>
      </c>
    </row>
    <row r="11" customFormat="false" ht="12.75" hidden="false" customHeight="false" outlineLevel="0" collapsed="false">
      <c r="A11" s="4" t="s">
        <v>17</v>
      </c>
      <c r="B11" s="4" t="s">
        <v>18</v>
      </c>
      <c r="C11" s="5" t="n">
        <v>17022</v>
      </c>
      <c r="D11" s="5" t="n">
        <v>16987</v>
      </c>
      <c r="E11" s="5" t="n">
        <v>2978</v>
      </c>
      <c r="F11" s="5" t="n">
        <v>3022</v>
      </c>
      <c r="G11" s="5" t="n">
        <v>0.5083</v>
      </c>
      <c r="H11" s="5" t="n">
        <v>0</v>
      </c>
      <c r="I11" s="5" t="n">
        <v>95.8</v>
      </c>
      <c r="J11" s="5" t="n">
        <v>99.5</v>
      </c>
      <c r="K11" s="5" t="n">
        <v>97.16</v>
      </c>
      <c r="L11" s="6" t="n">
        <f aca="false">(1-(I11/100))*100</f>
        <v>4.2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" activeCellId="0" sqref="L2"/>
    </sheetView>
  </sheetViews>
  <sheetFormatPr defaultColWidth="11.6796875" defaultRowHeight="12.75" zeroHeight="false" outlineLevelRow="0" outlineLevelCol="0"/>
  <cols>
    <col collapsed="false" customWidth="true" hidden="false" outlineLevel="0" max="9" min="9" style="0" width="8.56"/>
    <col collapsed="false" customWidth="true" hidden="false" outlineLevel="0" max="10" min="10" style="0" width="9.11"/>
    <col collapsed="false" customWidth="true" hidden="false" outlineLevel="0" max="11" min="11" style="0" width="9.56"/>
    <col collapsed="false" customWidth="true" hidden="false" outlineLevel="0" max="12" min="12" style="0" width="20.11"/>
  </cols>
  <sheetData>
    <row r="1" customFormat="false" ht="12.75" hidden="false" customHeight="false" outlineLevel="0" collapsed="false">
      <c r="A1" s="7" t="s">
        <v>13</v>
      </c>
      <c r="B1" s="7" t="s">
        <v>18</v>
      </c>
      <c r="C1" s="7" t="s">
        <v>2</v>
      </c>
      <c r="D1" s="7" t="s">
        <v>3</v>
      </c>
      <c r="E1" s="7" t="s">
        <v>19</v>
      </c>
      <c r="F1" s="7" t="s">
        <v>20</v>
      </c>
      <c r="G1" s="7" t="s">
        <v>21</v>
      </c>
      <c r="H1" s="7" t="s">
        <v>6</v>
      </c>
      <c r="I1" s="7" t="s">
        <v>22</v>
      </c>
      <c r="J1" s="7" t="s">
        <v>23</v>
      </c>
      <c r="K1" s="7" t="s">
        <v>10</v>
      </c>
      <c r="L1" s="7" t="s">
        <v>11</v>
      </c>
    </row>
    <row r="2" customFormat="false" ht="12.75" hidden="false" customHeight="false" outlineLevel="0" collapsed="false">
      <c r="A2" s="8" t="s">
        <v>12</v>
      </c>
      <c r="B2" s="8" t="s">
        <v>12</v>
      </c>
      <c r="C2" s="8" t="n">
        <v>17022</v>
      </c>
      <c r="D2" s="8" t="n">
        <v>16978</v>
      </c>
      <c r="E2" s="8" t="n">
        <v>2978</v>
      </c>
      <c r="F2" s="8" t="n">
        <v>3022</v>
      </c>
      <c r="G2" s="8" t="n">
        <v>32</v>
      </c>
      <c r="H2" s="8" t="n">
        <v>0.5052</v>
      </c>
      <c r="I2" s="8" t="n">
        <v>93.83</v>
      </c>
      <c r="J2" s="8" t="n">
        <v>99.94</v>
      </c>
      <c r="K2" s="8" t="n">
        <v>96.79</v>
      </c>
      <c r="L2" s="9" t="n">
        <f aca="false">(1-(I2/100))*100</f>
        <v>6.17</v>
      </c>
    </row>
    <row r="3" customFormat="false" ht="12.75" hidden="false" customHeight="false" outlineLevel="0" collapsed="false">
      <c r="A3" s="2" t="s">
        <v>12</v>
      </c>
      <c r="B3" s="2" t="s">
        <v>14</v>
      </c>
      <c r="C3" s="2" t="n">
        <v>17064</v>
      </c>
      <c r="D3" s="2" t="n">
        <v>16936</v>
      </c>
      <c r="E3" s="2" t="n">
        <v>2936</v>
      </c>
      <c r="F3" s="2" t="n">
        <v>3064</v>
      </c>
      <c r="G3" s="2" t="n">
        <v>32</v>
      </c>
      <c r="H3" s="2" t="n">
        <v>0.507</v>
      </c>
      <c r="I3" s="2" t="n">
        <v>95.71</v>
      </c>
      <c r="J3" s="2" t="n">
        <v>99.98</v>
      </c>
      <c r="K3" s="2" t="n">
        <v>97.8</v>
      </c>
      <c r="L3" s="9" t="n">
        <f aca="false">(1-(I3/100))*100</f>
        <v>4.29</v>
      </c>
    </row>
    <row r="4" customFormat="false" ht="12.75" hidden="false" customHeight="false" outlineLevel="0" collapsed="false">
      <c r="A4" s="2" t="s">
        <v>12</v>
      </c>
      <c r="B4" s="2" t="s">
        <v>15</v>
      </c>
      <c r="C4" s="2" t="n">
        <v>17002</v>
      </c>
      <c r="D4" s="2" t="n">
        <v>16998</v>
      </c>
      <c r="E4" s="2" t="n">
        <v>2998</v>
      </c>
      <c r="F4" s="2" t="n">
        <v>3002</v>
      </c>
      <c r="G4" s="2" t="n">
        <v>32</v>
      </c>
      <c r="H4" s="2" t="n">
        <v>0.5035</v>
      </c>
      <c r="I4" s="2" t="n">
        <v>69.43</v>
      </c>
      <c r="J4" s="2" t="n">
        <v>99.98</v>
      </c>
      <c r="K4" s="2" t="n">
        <v>81.95</v>
      </c>
      <c r="L4" s="9" t="n">
        <f aca="false">(1-(I4/100))*100</f>
        <v>30.57</v>
      </c>
    </row>
    <row r="5" customFormat="false" ht="12.75" hidden="false" customHeight="false" outlineLevel="0" collapsed="false">
      <c r="A5" s="2" t="s">
        <v>12</v>
      </c>
      <c r="B5" s="2" t="s">
        <v>16</v>
      </c>
      <c r="C5" s="2" t="n">
        <v>17026</v>
      </c>
      <c r="D5" s="2" t="n">
        <v>16974</v>
      </c>
      <c r="E5" s="2" t="n">
        <v>2974</v>
      </c>
      <c r="F5" s="2" t="n">
        <v>3026</v>
      </c>
      <c r="G5" s="2" t="n">
        <v>64</v>
      </c>
      <c r="H5" s="2" t="n">
        <v>0.5052</v>
      </c>
      <c r="I5" s="2" t="n">
        <v>65.62</v>
      </c>
      <c r="J5" s="2" t="n">
        <v>100</v>
      </c>
      <c r="K5" s="2" t="n">
        <v>79.24</v>
      </c>
      <c r="L5" s="9" t="n">
        <f aca="false">(1-(I5/100))*100</f>
        <v>34.38</v>
      </c>
    </row>
    <row r="6" customFormat="false" ht="12.75" hidden="false" customHeight="false" outlineLevel="0" collapsed="false">
      <c r="A6" s="10" t="s">
        <v>12</v>
      </c>
      <c r="B6" s="10" t="s">
        <v>17</v>
      </c>
      <c r="C6" s="10" t="n">
        <v>170210</v>
      </c>
      <c r="D6" s="10" t="n">
        <v>16979</v>
      </c>
      <c r="E6" s="10" t="n">
        <v>2979</v>
      </c>
      <c r="F6" s="10" t="n">
        <v>3021</v>
      </c>
      <c r="G6" s="10" t="n">
        <v>64</v>
      </c>
      <c r="H6" s="10" t="n">
        <v>0.5054</v>
      </c>
      <c r="I6" s="10" t="n">
        <v>81.89</v>
      </c>
      <c r="J6" s="10" t="n">
        <v>99.98</v>
      </c>
      <c r="K6" s="10" t="n">
        <v>90.03</v>
      </c>
      <c r="L6" s="11" t="n">
        <f aca="false">(1-(I6/100))*100</f>
        <v>18.11</v>
      </c>
    </row>
    <row r="7" customFormat="false" ht="12.75" hidden="false" customHeight="false" outlineLevel="0" collapsed="false">
      <c r="A7" s="4" t="s">
        <v>14</v>
      </c>
      <c r="B7" s="4" t="s">
        <v>12</v>
      </c>
      <c r="C7" s="12" t="n">
        <v>16976</v>
      </c>
      <c r="D7" s="12" t="n">
        <v>17024</v>
      </c>
      <c r="E7" s="12" t="n">
        <v>3024</v>
      </c>
      <c r="F7" s="12" t="n">
        <v>2976</v>
      </c>
      <c r="G7" s="12" t="n">
        <v>32</v>
      </c>
      <c r="H7" s="12" t="n">
        <v>0.5015</v>
      </c>
      <c r="I7" s="12" t="n">
        <v>96.07</v>
      </c>
      <c r="J7" s="12" t="n">
        <v>99.83</v>
      </c>
      <c r="K7" s="12" t="n">
        <v>97.91</v>
      </c>
      <c r="L7" s="13" t="n">
        <f aca="false">(1-(I7/100))*100</f>
        <v>3.93000000000001</v>
      </c>
    </row>
    <row r="8" customFormat="false" ht="12.75" hidden="false" customHeight="false" outlineLevel="0" collapsed="false">
      <c r="A8" s="12" t="s">
        <v>14</v>
      </c>
      <c r="B8" s="12" t="s">
        <v>14</v>
      </c>
      <c r="C8" s="12" t="n">
        <v>16982</v>
      </c>
      <c r="D8" s="12" t="n">
        <v>17018</v>
      </c>
      <c r="E8" s="12" t="n">
        <v>3018</v>
      </c>
      <c r="F8" s="12" t="n">
        <v>2982</v>
      </c>
      <c r="G8" s="12" t="n">
        <v>32</v>
      </c>
      <c r="H8" s="12" t="n">
        <v>0.5019</v>
      </c>
      <c r="I8" s="12" t="n">
        <v>93.46</v>
      </c>
      <c r="J8" s="12" t="n">
        <v>99.98</v>
      </c>
      <c r="K8" s="12" t="n">
        <v>96.61</v>
      </c>
      <c r="L8" s="13" t="n">
        <f aca="false">(1-(I8/100))*100</f>
        <v>6.54</v>
      </c>
    </row>
    <row r="9" customFormat="false" ht="12.75" hidden="false" customHeight="false" outlineLevel="0" collapsed="false">
      <c r="A9" s="12" t="s">
        <v>14</v>
      </c>
      <c r="B9" s="12" t="s">
        <v>15</v>
      </c>
      <c r="C9" s="12" t="n">
        <v>17066</v>
      </c>
      <c r="D9" s="12" t="n">
        <v>16934</v>
      </c>
      <c r="E9" s="12" t="n">
        <v>2934</v>
      </c>
      <c r="F9" s="12" t="n">
        <v>3066</v>
      </c>
      <c r="G9" s="12" t="n">
        <v>32</v>
      </c>
      <c r="H9" s="12" t="n">
        <v>0.5073</v>
      </c>
      <c r="I9" s="12" t="n">
        <v>90.2</v>
      </c>
      <c r="J9" s="12" t="n">
        <v>99.98</v>
      </c>
      <c r="K9" s="12" t="n">
        <v>94.84</v>
      </c>
      <c r="L9" s="13" t="n">
        <f aca="false">(1-(I9/100))*100</f>
        <v>9.8</v>
      </c>
    </row>
    <row r="10" customFormat="false" ht="12.75" hidden="false" customHeight="false" outlineLevel="0" collapsed="false">
      <c r="A10" s="12" t="s">
        <v>14</v>
      </c>
      <c r="B10" s="12" t="s">
        <v>16</v>
      </c>
      <c r="C10" s="12" t="n">
        <v>16694</v>
      </c>
      <c r="D10" s="12" t="n">
        <v>17006</v>
      </c>
      <c r="E10" s="12" t="n">
        <v>3006</v>
      </c>
      <c r="F10" s="12" t="n">
        <v>2994</v>
      </c>
      <c r="G10" s="12" t="n">
        <v>32</v>
      </c>
      <c r="H10" s="12" t="n">
        <v>0.5034</v>
      </c>
      <c r="I10" s="12" t="n">
        <v>66.63</v>
      </c>
      <c r="J10" s="12" t="n">
        <v>100</v>
      </c>
      <c r="K10" s="12" t="n">
        <v>79.97</v>
      </c>
      <c r="L10" s="13" t="n">
        <f aca="false">(1-(I10/100))*100</f>
        <v>33.37</v>
      </c>
    </row>
    <row r="11" customFormat="false" ht="12.75" hidden="false" customHeight="false" outlineLevel="0" collapsed="false">
      <c r="A11" s="14" t="s">
        <v>14</v>
      </c>
      <c r="B11" s="14" t="s">
        <v>17</v>
      </c>
      <c r="C11" s="14" t="n">
        <v>17012</v>
      </c>
      <c r="D11" s="14" t="n">
        <v>16988</v>
      </c>
      <c r="E11" s="14" t="n">
        <v>2988</v>
      </c>
      <c r="F11" s="14" t="n">
        <v>3012</v>
      </c>
      <c r="G11" s="14" t="n">
        <v>32</v>
      </c>
      <c r="H11" s="14" t="n">
        <v>0.5048</v>
      </c>
      <c r="I11" s="14" t="n">
        <v>66.03</v>
      </c>
      <c r="J11" s="14" t="n">
        <v>99.93</v>
      </c>
      <c r="K11" s="14" t="n">
        <v>79.52</v>
      </c>
      <c r="L11" s="15" t="n">
        <f aca="false">(1-(I11/100))*100</f>
        <v>33.97</v>
      </c>
    </row>
    <row r="12" customFormat="false" ht="12.75" hidden="false" customHeight="false" outlineLevel="0" collapsed="false">
      <c r="A12" s="2" t="s">
        <v>15</v>
      </c>
      <c r="B12" s="2" t="s">
        <v>12</v>
      </c>
      <c r="C12" s="2" t="n">
        <v>16973</v>
      </c>
      <c r="D12" s="2" t="n">
        <v>17027</v>
      </c>
      <c r="E12" s="2" t="n">
        <v>3027</v>
      </c>
      <c r="F12" s="2" t="n">
        <v>2973</v>
      </c>
      <c r="G12" s="2" t="n">
        <v>32</v>
      </c>
      <c r="H12" s="2" t="n">
        <v>0.5016</v>
      </c>
      <c r="I12" s="2" t="n">
        <v>70.44</v>
      </c>
      <c r="J12" s="2" t="n">
        <v>99.96</v>
      </c>
      <c r="K12" s="2" t="n">
        <v>82.64</v>
      </c>
      <c r="L12" s="9" t="n">
        <f aca="false">(1-(I12/100))*100</f>
        <v>29.56</v>
      </c>
    </row>
    <row r="13" customFormat="false" ht="12.75" hidden="false" customHeight="false" outlineLevel="0" collapsed="false">
      <c r="A13" s="2" t="s">
        <v>15</v>
      </c>
      <c r="B13" s="2" t="s">
        <v>14</v>
      </c>
      <c r="C13" s="2" t="n">
        <v>16987</v>
      </c>
      <c r="D13" s="2" t="n">
        <v>17013</v>
      </c>
      <c r="E13" s="2" t="n">
        <v>3013</v>
      </c>
      <c r="F13" s="2" t="n">
        <v>2987</v>
      </c>
      <c r="G13" s="2" t="n">
        <v>128</v>
      </c>
      <c r="H13" s="2" t="n">
        <v>0.5023</v>
      </c>
      <c r="I13" s="2" t="n">
        <v>90.52</v>
      </c>
      <c r="J13" s="2" t="n">
        <v>99.98</v>
      </c>
      <c r="K13" s="2" t="n">
        <v>95.01</v>
      </c>
      <c r="L13" s="9" t="n">
        <f aca="false">(1-(I13/100))*100</f>
        <v>9.48</v>
      </c>
    </row>
    <row r="14" customFormat="false" ht="12.75" hidden="false" customHeight="false" outlineLevel="0" collapsed="false">
      <c r="A14" s="2" t="s">
        <v>15</v>
      </c>
      <c r="B14" s="2" t="s">
        <v>15</v>
      </c>
      <c r="C14" s="2" t="n">
        <v>16993</v>
      </c>
      <c r="D14" s="2" t="n">
        <v>17007</v>
      </c>
      <c r="E14" s="2" t="n">
        <v>3007</v>
      </c>
      <c r="F14" s="2" t="n">
        <v>2993</v>
      </c>
      <c r="G14" s="2" t="n">
        <v>32</v>
      </c>
      <c r="H14" s="2" t="n">
        <v>0.5026</v>
      </c>
      <c r="I14" s="2" t="n">
        <v>94.1</v>
      </c>
      <c r="J14" s="2" t="n">
        <v>99.95</v>
      </c>
      <c r="K14" s="2" t="n">
        <v>97.05</v>
      </c>
      <c r="L14" s="9" t="n">
        <f aca="false">(1-(I14/100))*100</f>
        <v>5.90000000000001</v>
      </c>
    </row>
    <row r="15" customFormat="false" ht="12.75" hidden="false" customHeight="false" outlineLevel="0" collapsed="false">
      <c r="A15" s="2" t="s">
        <v>15</v>
      </c>
      <c r="B15" s="2" t="s">
        <v>16</v>
      </c>
      <c r="C15" s="2" t="n">
        <v>17000</v>
      </c>
      <c r="D15" s="2" t="n">
        <v>17000</v>
      </c>
      <c r="E15" s="2" t="n">
        <v>3000</v>
      </c>
      <c r="F15" s="2" t="n">
        <v>3000</v>
      </c>
      <c r="G15" s="2" t="n">
        <v>32</v>
      </c>
      <c r="H15" s="2" t="n">
        <v>0.5041</v>
      </c>
      <c r="I15" s="2" t="n">
        <v>77.06</v>
      </c>
      <c r="J15" s="2" t="n">
        <v>99.69</v>
      </c>
      <c r="K15" s="2" t="n">
        <v>86.92</v>
      </c>
      <c r="L15" s="9" t="n">
        <f aca="false">(1-(I15/100))*100</f>
        <v>22.94</v>
      </c>
    </row>
    <row r="16" customFormat="false" ht="12.75" hidden="false" customHeight="false" outlineLevel="0" collapsed="false">
      <c r="A16" s="10" t="s">
        <v>15</v>
      </c>
      <c r="B16" s="10" t="s">
        <v>17</v>
      </c>
      <c r="C16" s="10" t="n">
        <v>17056</v>
      </c>
      <c r="D16" s="10" t="n">
        <v>16944</v>
      </c>
      <c r="E16" s="10" t="n">
        <v>2944</v>
      </c>
      <c r="F16" s="10" t="n">
        <v>3056</v>
      </c>
      <c r="G16" s="10" t="n">
        <v>256</v>
      </c>
      <c r="H16" s="10" t="n">
        <v>0.5071</v>
      </c>
      <c r="I16" s="10" t="n">
        <v>66.7</v>
      </c>
      <c r="J16" s="10" t="n">
        <v>99.98</v>
      </c>
      <c r="K16" s="10" t="n">
        <v>80.02</v>
      </c>
      <c r="L16" s="11" t="n">
        <f aca="false">(1-(I16/100))*100</f>
        <v>33.3</v>
      </c>
    </row>
    <row r="17" customFormat="false" ht="12.75" hidden="false" customHeight="false" outlineLevel="0" collapsed="false">
      <c r="A17" s="12" t="s">
        <v>16</v>
      </c>
      <c r="B17" s="12" t="s">
        <v>12</v>
      </c>
      <c r="C17" s="12" t="n">
        <v>16961</v>
      </c>
      <c r="D17" s="12" t="n">
        <v>17039</v>
      </c>
      <c r="E17" s="12" t="n">
        <v>3039</v>
      </c>
      <c r="F17" s="12" t="n">
        <v>2961</v>
      </c>
      <c r="G17" s="12" t="n">
        <v>32</v>
      </c>
      <c r="H17" s="12" t="n">
        <v>0.5009</v>
      </c>
      <c r="I17" s="12" t="n">
        <v>94.48</v>
      </c>
      <c r="J17" s="12" t="n">
        <v>99.87</v>
      </c>
      <c r="K17" s="12" t="n">
        <v>97.1</v>
      </c>
      <c r="L17" s="13" t="n">
        <f aca="false">(1-(I17/100))*100</f>
        <v>5.51999999999999</v>
      </c>
    </row>
    <row r="18" customFormat="false" ht="12.75" hidden="false" customHeight="false" outlineLevel="0" collapsed="false">
      <c r="A18" s="12" t="s">
        <v>16</v>
      </c>
      <c r="B18" s="12" t="s">
        <v>14</v>
      </c>
      <c r="C18" s="12" t="n">
        <v>16920</v>
      </c>
      <c r="D18" s="12" t="n">
        <v>17080</v>
      </c>
      <c r="E18" s="12" t="n">
        <v>3080</v>
      </c>
      <c r="F18" s="12" t="n">
        <v>2920</v>
      </c>
      <c r="G18" s="12" t="n">
        <v>128</v>
      </c>
      <c r="H18" s="12" t="n">
        <v>0.4985</v>
      </c>
      <c r="I18" s="12" t="n">
        <v>94.91</v>
      </c>
      <c r="J18" s="12" t="n">
        <v>99.91</v>
      </c>
      <c r="K18" s="12" t="n">
        <v>97.35</v>
      </c>
      <c r="L18" s="13" t="n">
        <f aca="false">(1-(I18/100))*100</f>
        <v>5.09000000000001</v>
      </c>
    </row>
    <row r="19" customFormat="false" ht="12.75" hidden="false" customHeight="false" outlineLevel="0" collapsed="false">
      <c r="A19" s="12" t="s">
        <v>16</v>
      </c>
      <c r="B19" s="12" t="s">
        <v>15</v>
      </c>
      <c r="C19" s="12" t="n">
        <v>17035</v>
      </c>
      <c r="D19" s="12" t="n">
        <v>16965</v>
      </c>
      <c r="E19" s="12" t="n">
        <v>2965</v>
      </c>
      <c r="F19" s="12" t="n">
        <v>3035</v>
      </c>
      <c r="G19" s="12" t="n">
        <v>512</v>
      </c>
      <c r="H19" s="12" t="n">
        <v>0.5054</v>
      </c>
      <c r="I19" s="12" t="n">
        <v>96.64</v>
      </c>
      <c r="J19" s="12" t="n">
        <v>99.95</v>
      </c>
      <c r="K19" s="12" t="n">
        <v>98.27</v>
      </c>
      <c r="L19" s="13" t="n">
        <f aca="false">(1-(I19/100))*100</f>
        <v>3.36</v>
      </c>
    </row>
    <row r="20" customFormat="false" ht="12.75" hidden="false" customHeight="false" outlineLevel="0" collapsed="false">
      <c r="A20" s="12" t="s">
        <v>16</v>
      </c>
      <c r="B20" s="12" t="s">
        <v>16</v>
      </c>
      <c r="C20" s="12" t="n">
        <v>16962</v>
      </c>
      <c r="D20" s="12" t="n">
        <v>17038</v>
      </c>
      <c r="E20" s="12" t="n">
        <v>3038</v>
      </c>
      <c r="F20" s="12" t="n">
        <v>2962</v>
      </c>
      <c r="G20" s="12" t="n">
        <v>512</v>
      </c>
      <c r="H20" s="12" t="n">
        <v>0.5024</v>
      </c>
      <c r="I20" s="12" t="n">
        <v>93.02</v>
      </c>
      <c r="J20" s="12" t="n">
        <v>99.69</v>
      </c>
      <c r="K20" s="12" t="n">
        <v>96.24</v>
      </c>
      <c r="L20" s="13" t="n">
        <f aca="false">(1-(I20/100))*100</f>
        <v>6.98000000000001</v>
      </c>
    </row>
    <row r="21" customFormat="false" ht="12.75" hidden="false" customHeight="false" outlineLevel="0" collapsed="false">
      <c r="A21" s="14" t="s">
        <v>16</v>
      </c>
      <c r="B21" s="14" t="s">
        <v>17</v>
      </c>
      <c r="C21" s="14" t="n">
        <v>17000</v>
      </c>
      <c r="D21" s="14" t="n">
        <v>17000</v>
      </c>
      <c r="E21" s="14" t="n">
        <v>3000</v>
      </c>
      <c r="F21" s="14" t="n">
        <v>3000</v>
      </c>
      <c r="G21" s="14" t="n">
        <v>32</v>
      </c>
      <c r="H21" s="14" t="n">
        <v>0.5042</v>
      </c>
      <c r="I21" s="14" t="n">
        <v>93.23</v>
      </c>
      <c r="J21" s="14" t="n">
        <v>99.34</v>
      </c>
      <c r="K21" s="14" t="n">
        <v>96.89</v>
      </c>
      <c r="L21" s="15" t="n">
        <f aca="false">(1-(I21/100))*100</f>
        <v>6.77</v>
      </c>
    </row>
    <row r="22" customFormat="false" ht="12.75" hidden="false" customHeight="false" outlineLevel="0" collapsed="false">
      <c r="A22" s="2" t="s">
        <v>17</v>
      </c>
      <c r="B22" s="2" t="s">
        <v>12</v>
      </c>
      <c r="C22" s="2" t="n">
        <v>16981</v>
      </c>
      <c r="D22" s="2" t="n">
        <v>17019</v>
      </c>
      <c r="E22" s="2" t="n">
        <v>3019</v>
      </c>
      <c r="F22" s="2" t="n">
        <v>2981</v>
      </c>
      <c r="G22" s="2" t="n">
        <v>64</v>
      </c>
      <c r="H22" s="2" t="n">
        <v>0.5025</v>
      </c>
      <c r="I22" s="2" t="n">
        <v>95.77</v>
      </c>
      <c r="J22" s="2" t="n">
        <v>99.89</v>
      </c>
      <c r="K22" s="2" t="n">
        <v>97.79</v>
      </c>
      <c r="L22" s="9" t="n">
        <f aca="false">(1-(I22/100))*100</f>
        <v>4.23</v>
      </c>
    </row>
    <row r="23" customFormat="false" ht="12.75" hidden="false" customHeight="false" outlineLevel="0" collapsed="false">
      <c r="A23" s="2" t="s">
        <v>17</v>
      </c>
      <c r="B23" s="2" t="s">
        <v>14</v>
      </c>
      <c r="C23" s="2" t="n">
        <v>16976</v>
      </c>
      <c r="D23" s="2" t="n">
        <v>17024</v>
      </c>
      <c r="E23" s="2" t="n">
        <v>3024</v>
      </c>
      <c r="F23" s="2" t="n">
        <v>2976</v>
      </c>
      <c r="G23" s="2" t="n">
        <v>256</v>
      </c>
      <c r="H23" s="2" t="n">
        <v>0.5019</v>
      </c>
      <c r="I23" s="2" t="n">
        <v>94.42</v>
      </c>
      <c r="J23" s="2" t="n">
        <v>99.95</v>
      </c>
      <c r="K23" s="2" t="n">
        <v>97.11</v>
      </c>
      <c r="L23" s="9" t="n">
        <f aca="false">(1-(I23/100))*100</f>
        <v>5.58</v>
      </c>
    </row>
    <row r="24" customFormat="false" ht="12.75" hidden="false" customHeight="false" outlineLevel="0" collapsed="false">
      <c r="A24" s="2" t="s">
        <v>17</v>
      </c>
      <c r="B24" s="2" t="s">
        <v>15</v>
      </c>
      <c r="C24" s="2" t="n">
        <v>16962</v>
      </c>
      <c r="D24" s="2" t="n">
        <v>17038</v>
      </c>
      <c r="E24" s="2" t="n">
        <v>3038</v>
      </c>
      <c r="F24" s="2" t="n">
        <v>2962</v>
      </c>
      <c r="G24" s="2" t="n">
        <v>128</v>
      </c>
      <c r="H24" s="2" t="n">
        <v>0.5009</v>
      </c>
      <c r="I24" s="2" t="n">
        <v>93.74</v>
      </c>
      <c r="J24" s="2" t="n">
        <v>99.98</v>
      </c>
      <c r="K24" s="2" t="n">
        <v>97.21</v>
      </c>
      <c r="L24" s="9" t="n">
        <f aca="false">(1-(I24/100))*100</f>
        <v>6.26000000000001</v>
      </c>
    </row>
    <row r="25" customFormat="false" ht="12.75" hidden="false" customHeight="false" outlineLevel="0" collapsed="false">
      <c r="A25" s="2" t="s">
        <v>17</v>
      </c>
      <c r="B25" s="2" t="s">
        <v>16</v>
      </c>
      <c r="C25" s="2" t="n">
        <v>16969</v>
      </c>
      <c r="D25" s="2" t="n">
        <v>17031</v>
      </c>
      <c r="E25" s="2" t="n">
        <v>3031</v>
      </c>
      <c r="F25" s="2" t="n">
        <v>2969</v>
      </c>
      <c r="G25" s="2" t="n">
        <v>512</v>
      </c>
      <c r="H25" s="2" t="n">
        <v>0.5027</v>
      </c>
      <c r="I25" s="2" t="n">
        <v>86.52</v>
      </c>
      <c r="J25" s="2" t="n">
        <v>99.93</v>
      </c>
      <c r="K25" s="2" t="n">
        <v>92.75</v>
      </c>
      <c r="L25" s="9" t="n">
        <f aca="false">(1-(I25/100))*100</f>
        <v>13.48</v>
      </c>
    </row>
    <row r="26" customFormat="false" ht="12.75" hidden="false" customHeight="false" outlineLevel="0" collapsed="false">
      <c r="A26" s="10" t="s">
        <v>17</v>
      </c>
      <c r="B26" s="10" t="s">
        <v>17</v>
      </c>
      <c r="C26" s="10" t="n">
        <v>16946</v>
      </c>
      <c r="D26" s="10" t="n">
        <v>17054</v>
      </c>
      <c r="E26" s="10" t="n">
        <v>2946</v>
      </c>
      <c r="F26" s="10" t="n">
        <v>3054</v>
      </c>
      <c r="G26" s="10" t="n">
        <v>32</v>
      </c>
      <c r="H26" s="10" t="n">
        <v>0.5085</v>
      </c>
      <c r="I26" s="10" t="n">
        <v>96.1</v>
      </c>
      <c r="J26" s="10" t="n">
        <v>99.81</v>
      </c>
      <c r="K26" s="10" t="n">
        <v>97.92</v>
      </c>
      <c r="L26" s="11" t="n">
        <f aca="false">(1-(I26/100))*100</f>
        <v>3.9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2024-11-07T07:22:09Z</dcterms:created>
  <dc:creator/>
  <dc:description/>
  <dc:language>en-US</dc:language>
  <cp:lastModifiedBy/>
  <dcterms:modified xsi:type="dcterms:W3CDTF">2025-07-01T09:53:51Z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